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raphAlgo_RISC_V\log\"/>
    </mc:Choice>
  </mc:AlternateContent>
  <xr:revisionPtr revIDLastSave="0" documentId="13_ncr:1_{61E6F8C3-0343-4407-8C44-E0C988F17638}" xr6:coauthVersionLast="47" xr6:coauthVersionMax="47" xr10:uidLastSave="{00000000-0000-0000-0000-000000000000}"/>
  <bookViews>
    <workbookView xWindow="-120" yWindow="-120" windowWidth="29040" windowHeight="15840" activeTab="1" xr2:uid="{C6F22A6A-250E-4553-97A4-2A823809E475}"/>
  </bookViews>
  <sheets>
    <sheet name="Лист1" sheetId="1" r:id="rId1"/>
    <sheet name="Лист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20" i="2"/>
  <c r="I21" i="2"/>
  <c r="I22" i="2"/>
  <c r="I23" i="2"/>
  <c r="I24" i="2"/>
  <c r="I25" i="2"/>
  <c r="I26" i="2"/>
  <c r="I27" i="2"/>
  <c r="I28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8" i="2"/>
  <c r="O20" i="2"/>
  <c r="O21" i="2"/>
  <c r="O22" i="2"/>
  <c r="O23" i="2"/>
  <c r="O24" i="2"/>
  <c r="O25" i="2"/>
  <c r="O26" i="2"/>
  <c r="O27" i="2"/>
  <c r="O28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8" i="2"/>
  <c r="M9" i="2"/>
  <c r="M10" i="2"/>
  <c r="M11" i="2"/>
  <c r="M12" i="2"/>
  <c r="M13" i="2"/>
  <c r="M14" i="2"/>
  <c r="M15" i="2"/>
  <c r="M16" i="2"/>
  <c r="M20" i="2"/>
  <c r="M21" i="2"/>
  <c r="M22" i="2"/>
  <c r="M23" i="2"/>
  <c r="M24" i="2"/>
  <c r="M25" i="2"/>
  <c r="M26" i="2"/>
  <c r="M27" i="2"/>
  <c r="M28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8" i="2"/>
  <c r="J9" i="2"/>
  <c r="O9" i="2" s="1"/>
  <c r="J10" i="2"/>
  <c r="J11" i="2"/>
  <c r="J12" i="2"/>
  <c r="J13" i="2"/>
  <c r="O13" i="2" s="1"/>
  <c r="J14" i="2"/>
  <c r="O14" i="2" s="1"/>
  <c r="J15" i="2"/>
  <c r="O15" i="2" s="1"/>
  <c r="J16" i="2"/>
  <c r="O16" i="2" s="1"/>
  <c r="J20" i="2"/>
  <c r="J21" i="2"/>
  <c r="J22" i="2"/>
  <c r="J23" i="2"/>
  <c r="J24" i="2"/>
  <c r="J25" i="2"/>
  <c r="J26" i="2"/>
  <c r="J27" i="2"/>
  <c r="J28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8" i="2"/>
  <c r="O10" i="2" l="1"/>
  <c r="O12" i="2"/>
  <c r="O11" i="2"/>
</calcChain>
</file>

<file path=xl/sharedStrings.xml><?xml version="1.0" encoding="utf-8"?>
<sst xmlns="http://schemas.openxmlformats.org/spreadsheetml/2006/main" count="103" uniqueCount="26">
  <si>
    <t>k_truss with k = 3 on main graphs</t>
  </si>
  <si>
    <t>k_truss with k = 4 on main graphs</t>
  </si>
  <si>
    <t>triangle test on main graphs</t>
  </si>
  <si>
    <t>graph</t>
  </si>
  <si>
    <t>mca_lmul1</t>
  </si>
  <si>
    <t>mca_lmul2</t>
  </si>
  <si>
    <t>mca_lmul4</t>
  </si>
  <si>
    <t>mca_scalar</t>
  </si>
  <si>
    <t>msa_scalar</t>
  </si>
  <si>
    <t>memchip</t>
  </si>
  <si>
    <t>amazon0312</t>
  </si>
  <si>
    <t>amazon0601</t>
  </si>
  <si>
    <t>patents</t>
  </si>
  <si>
    <t>webbase-1M</t>
  </si>
  <si>
    <t>road_central</t>
  </si>
  <si>
    <t>pwtk</t>
  </si>
  <si>
    <t>web-Stanford</t>
  </si>
  <si>
    <t>web-Google</t>
  </si>
  <si>
    <t>mac_econ_fwd500</t>
  </si>
  <si>
    <t>ecology1</t>
  </si>
  <si>
    <t>raefsky3</t>
  </si>
  <si>
    <t>G3_circuit</t>
  </si>
  <si>
    <t>netherlands_osm</t>
  </si>
  <si>
    <t>msa лучше всех?</t>
  </si>
  <si>
    <t>Векторный mca лучше всех?</t>
  </si>
  <si>
    <t>scalar/vec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</si>
</sst>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CF7B-79B1-4094-B215-F0D91032F5EA}">
  <dimension ref="C10:H49"/>
  <sheetViews>
    <sheetView topLeftCell="A7" zoomScale="85" zoomScaleNormal="85" workbookViewId="0">
      <selection activeCell="C10" sqref="C10:H49"/>
    </sheetView>
  </sheetViews>
  <sheetFormatPr defaultRowHeight="15" x14ac:dyDescent="0.25"/>
  <sheetData>
    <row r="10" spans="3:8" x14ac:dyDescent="0.25">
      <c r="C10" t="s">
        <v>0</v>
      </c>
    </row>
    <row r="11" spans="3:8" x14ac:dyDescent="0.25"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</row>
    <row r="12" spans="3:8" x14ac:dyDescent="0.25">
      <c r="C12" t="s">
        <v>9</v>
      </c>
      <c r="D12">
        <v>489</v>
      </c>
      <c r="E12">
        <v>507</v>
      </c>
      <c r="F12">
        <v>538</v>
      </c>
      <c r="G12">
        <v>488</v>
      </c>
      <c r="H12">
        <v>432</v>
      </c>
    </row>
    <row r="13" spans="3:8" x14ac:dyDescent="0.25">
      <c r="C13" t="s">
        <v>10</v>
      </c>
      <c r="D13">
        <v>716</v>
      </c>
      <c r="E13">
        <v>748</v>
      </c>
      <c r="F13">
        <v>785</v>
      </c>
      <c r="G13">
        <v>742</v>
      </c>
      <c r="H13">
        <v>725</v>
      </c>
    </row>
    <row r="14" spans="3:8" x14ac:dyDescent="0.25">
      <c r="C14" t="s">
        <v>11</v>
      </c>
      <c r="D14">
        <v>810</v>
      </c>
      <c r="E14">
        <v>845</v>
      </c>
      <c r="F14">
        <v>890</v>
      </c>
      <c r="G14">
        <v>833</v>
      </c>
      <c r="H14">
        <v>805</v>
      </c>
    </row>
    <row r="15" spans="3:8" x14ac:dyDescent="0.25">
      <c r="C15" t="s">
        <v>12</v>
      </c>
      <c r="D15">
        <v>833</v>
      </c>
      <c r="E15">
        <v>863</v>
      </c>
      <c r="F15">
        <v>868</v>
      </c>
      <c r="G15">
        <v>889</v>
      </c>
      <c r="H15">
        <v>1486</v>
      </c>
    </row>
    <row r="16" spans="3:8" x14ac:dyDescent="0.25">
      <c r="C16" t="s">
        <v>13</v>
      </c>
      <c r="D16">
        <v>874</v>
      </c>
      <c r="E16">
        <v>847</v>
      </c>
      <c r="F16">
        <v>900</v>
      </c>
      <c r="G16">
        <v>3344</v>
      </c>
      <c r="H16">
        <v>356</v>
      </c>
    </row>
    <row r="17" spans="3:8" x14ac:dyDescent="0.25">
      <c r="C17" t="s">
        <v>14</v>
      </c>
      <c r="D17">
        <v>1301</v>
      </c>
      <c r="E17">
        <v>1348</v>
      </c>
      <c r="F17">
        <v>1381</v>
      </c>
      <c r="G17">
        <v>1418</v>
      </c>
      <c r="H17">
        <v>1983</v>
      </c>
    </row>
    <row r="18" spans="3:8" x14ac:dyDescent="0.25">
      <c r="C18" t="s">
        <v>15</v>
      </c>
      <c r="D18">
        <v>1420</v>
      </c>
      <c r="E18">
        <v>1536</v>
      </c>
      <c r="F18">
        <v>1761</v>
      </c>
      <c r="G18">
        <v>1449</v>
      </c>
      <c r="H18">
        <v>355</v>
      </c>
    </row>
    <row r="19" spans="3:8" x14ac:dyDescent="0.25">
      <c r="C19" t="s">
        <v>16</v>
      </c>
      <c r="D19">
        <v>2931</v>
      </c>
      <c r="E19">
        <v>3041</v>
      </c>
      <c r="F19">
        <v>3290</v>
      </c>
      <c r="G19">
        <v>3578</v>
      </c>
      <c r="H19">
        <v>3315</v>
      </c>
    </row>
    <row r="20" spans="3:8" x14ac:dyDescent="0.25">
      <c r="C20" t="s">
        <v>17</v>
      </c>
      <c r="D20">
        <v>6074</v>
      </c>
      <c r="E20">
        <v>6296</v>
      </c>
      <c r="F20">
        <v>6387</v>
      </c>
      <c r="G20">
        <v>7133</v>
      </c>
      <c r="H20">
        <v>7935</v>
      </c>
    </row>
    <row r="22" spans="3:8" x14ac:dyDescent="0.25">
      <c r="C22" t="s">
        <v>1</v>
      </c>
    </row>
    <row r="23" spans="3:8" x14ac:dyDescent="0.25"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</row>
    <row r="24" spans="3:8" x14ac:dyDescent="0.25">
      <c r="C24" t="s">
        <v>9</v>
      </c>
      <c r="D24">
        <v>527</v>
      </c>
      <c r="E24">
        <v>538</v>
      </c>
      <c r="F24">
        <v>566</v>
      </c>
      <c r="G24">
        <v>532</v>
      </c>
      <c r="H24">
        <v>468</v>
      </c>
    </row>
    <row r="25" spans="3:8" x14ac:dyDescent="0.25">
      <c r="C25" t="s">
        <v>10</v>
      </c>
      <c r="D25">
        <v>620</v>
      </c>
      <c r="E25">
        <v>643</v>
      </c>
      <c r="F25">
        <v>680</v>
      </c>
      <c r="G25">
        <v>629</v>
      </c>
      <c r="H25">
        <v>572</v>
      </c>
    </row>
    <row r="26" spans="3:8" x14ac:dyDescent="0.25">
      <c r="C26" t="s">
        <v>11</v>
      </c>
      <c r="D26">
        <v>723</v>
      </c>
      <c r="E26">
        <v>749</v>
      </c>
      <c r="F26">
        <v>795</v>
      </c>
      <c r="G26">
        <v>730</v>
      </c>
      <c r="H26">
        <v>687</v>
      </c>
    </row>
    <row r="27" spans="3:8" x14ac:dyDescent="0.25">
      <c r="C27" t="s">
        <v>12</v>
      </c>
      <c r="D27">
        <v>740</v>
      </c>
      <c r="E27">
        <v>767</v>
      </c>
      <c r="F27">
        <v>771</v>
      </c>
      <c r="G27">
        <v>786</v>
      </c>
      <c r="H27">
        <v>1349</v>
      </c>
    </row>
    <row r="28" spans="3:8" x14ac:dyDescent="0.25">
      <c r="C28" t="s">
        <v>13</v>
      </c>
      <c r="D28">
        <v>1876</v>
      </c>
      <c r="E28">
        <v>1859</v>
      </c>
      <c r="F28">
        <v>1989</v>
      </c>
      <c r="G28">
        <v>7692</v>
      </c>
      <c r="H28">
        <v>743</v>
      </c>
    </row>
    <row r="29" spans="3:8" x14ac:dyDescent="0.25">
      <c r="C29" t="s">
        <v>14</v>
      </c>
      <c r="D29">
        <v>1418</v>
      </c>
      <c r="E29">
        <v>1465</v>
      </c>
      <c r="F29">
        <v>1496</v>
      </c>
      <c r="G29">
        <v>1556</v>
      </c>
      <c r="H29">
        <v>2194</v>
      </c>
    </row>
    <row r="30" spans="3:8" x14ac:dyDescent="0.25">
      <c r="C30" t="s">
        <v>15</v>
      </c>
      <c r="D30">
        <v>1419</v>
      </c>
      <c r="E30">
        <v>1535</v>
      </c>
      <c r="F30">
        <v>1762</v>
      </c>
      <c r="G30">
        <v>1451</v>
      </c>
      <c r="H30">
        <v>356</v>
      </c>
    </row>
    <row r="31" spans="3:8" x14ac:dyDescent="0.25">
      <c r="C31" t="s">
        <v>16</v>
      </c>
      <c r="D31">
        <v>1815</v>
      </c>
      <c r="E31">
        <v>1882</v>
      </c>
      <c r="F31">
        <v>2002</v>
      </c>
      <c r="G31">
        <v>2162</v>
      </c>
      <c r="H31">
        <v>1733</v>
      </c>
    </row>
    <row r="32" spans="3:8" x14ac:dyDescent="0.25">
      <c r="C32" t="s">
        <v>17</v>
      </c>
      <c r="D32">
        <v>2795</v>
      </c>
      <c r="E32">
        <v>2871</v>
      </c>
      <c r="F32">
        <v>2950</v>
      </c>
      <c r="G32">
        <v>3178</v>
      </c>
      <c r="H32">
        <v>3339</v>
      </c>
    </row>
    <row r="34" spans="3:8" x14ac:dyDescent="0.25">
      <c r="C34" t="s">
        <v>2</v>
      </c>
    </row>
    <row r="35" spans="3:8" x14ac:dyDescent="0.25"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</row>
    <row r="36" spans="3:8" x14ac:dyDescent="0.25">
      <c r="C36" t="s">
        <v>18</v>
      </c>
      <c r="D36">
        <v>5</v>
      </c>
      <c r="E36">
        <v>5</v>
      </c>
      <c r="F36">
        <v>6</v>
      </c>
      <c r="G36">
        <v>5</v>
      </c>
      <c r="H36">
        <v>3</v>
      </c>
    </row>
    <row r="37" spans="3:8" x14ac:dyDescent="0.25">
      <c r="C37" t="s">
        <v>19</v>
      </c>
      <c r="D37">
        <v>12</v>
      </c>
      <c r="E37">
        <v>13</v>
      </c>
      <c r="F37">
        <v>14</v>
      </c>
      <c r="G37">
        <v>11</v>
      </c>
      <c r="H37">
        <v>12</v>
      </c>
    </row>
    <row r="38" spans="3:8" x14ac:dyDescent="0.25">
      <c r="C38" t="s">
        <v>20</v>
      </c>
      <c r="D38">
        <v>30</v>
      </c>
      <c r="E38">
        <v>32</v>
      </c>
      <c r="F38">
        <v>38</v>
      </c>
      <c r="G38">
        <v>20</v>
      </c>
      <c r="H38">
        <v>7</v>
      </c>
    </row>
    <row r="39" spans="3:8" x14ac:dyDescent="0.25">
      <c r="C39" t="s">
        <v>21</v>
      </c>
      <c r="D39">
        <v>39</v>
      </c>
      <c r="E39">
        <v>40</v>
      </c>
      <c r="F39">
        <v>41</v>
      </c>
      <c r="G39">
        <v>38</v>
      </c>
      <c r="H39">
        <v>43</v>
      </c>
    </row>
    <row r="40" spans="3:8" x14ac:dyDescent="0.25">
      <c r="C40" t="s">
        <v>22</v>
      </c>
      <c r="D40">
        <v>41</v>
      </c>
      <c r="E40">
        <v>41</v>
      </c>
      <c r="F40">
        <v>41</v>
      </c>
      <c r="G40">
        <v>41</v>
      </c>
      <c r="H40">
        <v>48</v>
      </c>
    </row>
    <row r="41" spans="3:8" x14ac:dyDescent="0.25">
      <c r="C41" t="s">
        <v>9</v>
      </c>
      <c r="D41">
        <v>66</v>
      </c>
      <c r="E41">
        <v>66</v>
      </c>
      <c r="F41">
        <v>68</v>
      </c>
      <c r="G41">
        <v>67</v>
      </c>
      <c r="H41">
        <v>71</v>
      </c>
    </row>
    <row r="42" spans="3:8" x14ac:dyDescent="0.25">
      <c r="C42" t="s">
        <v>10</v>
      </c>
      <c r="D42">
        <v>49</v>
      </c>
      <c r="E42">
        <v>50</v>
      </c>
      <c r="F42">
        <v>53</v>
      </c>
      <c r="G42">
        <v>51</v>
      </c>
      <c r="H42">
        <v>58</v>
      </c>
    </row>
    <row r="43" spans="3:8" x14ac:dyDescent="0.25">
      <c r="C43" t="s">
        <v>11</v>
      </c>
      <c r="D43">
        <v>52</v>
      </c>
      <c r="E43">
        <v>56</v>
      </c>
      <c r="F43">
        <v>58</v>
      </c>
      <c r="G43">
        <v>54</v>
      </c>
      <c r="H43">
        <v>61</v>
      </c>
    </row>
    <row r="44" spans="3:8" x14ac:dyDescent="0.25">
      <c r="C44" t="s">
        <v>12</v>
      </c>
      <c r="D44">
        <v>558</v>
      </c>
      <c r="E44">
        <v>567</v>
      </c>
      <c r="F44">
        <v>601</v>
      </c>
      <c r="G44">
        <v>604</v>
      </c>
      <c r="H44">
        <v>1222</v>
      </c>
    </row>
    <row r="45" spans="3:8" x14ac:dyDescent="0.25">
      <c r="C45" t="s">
        <v>13</v>
      </c>
      <c r="D45">
        <v>14</v>
      </c>
      <c r="E45">
        <v>15</v>
      </c>
      <c r="F45">
        <v>16</v>
      </c>
      <c r="G45">
        <v>36</v>
      </c>
      <c r="H45">
        <v>14</v>
      </c>
    </row>
    <row r="46" spans="3:8" x14ac:dyDescent="0.25">
      <c r="C46" t="s">
        <v>14</v>
      </c>
      <c r="D46">
        <v>366</v>
      </c>
      <c r="E46">
        <v>368</v>
      </c>
      <c r="F46">
        <v>370</v>
      </c>
      <c r="G46">
        <v>377</v>
      </c>
      <c r="H46">
        <v>627</v>
      </c>
    </row>
    <row r="47" spans="3:8" x14ac:dyDescent="0.25">
      <c r="C47" t="s">
        <v>15</v>
      </c>
      <c r="D47">
        <v>186</v>
      </c>
      <c r="E47">
        <v>202</v>
      </c>
      <c r="F47">
        <v>236</v>
      </c>
      <c r="G47">
        <v>125</v>
      </c>
      <c r="H47">
        <v>54</v>
      </c>
    </row>
    <row r="48" spans="3:8" x14ac:dyDescent="0.25">
      <c r="C48" t="s">
        <v>16</v>
      </c>
      <c r="D48">
        <v>27</v>
      </c>
      <c r="E48">
        <v>27</v>
      </c>
      <c r="F48">
        <v>29</v>
      </c>
      <c r="G48">
        <v>32</v>
      </c>
      <c r="H48">
        <v>32</v>
      </c>
    </row>
    <row r="49" spans="3:8" x14ac:dyDescent="0.25">
      <c r="C49" t="s">
        <v>17</v>
      </c>
      <c r="D49">
        <v>81</v>
      </c>
      <c r="E49">
        <v>81</v>
      </c>
      <c r="F49">
        <v>84</v>
      </c>
      <c r="G49">
        <v>91</v>
      </c>
      <c r="H49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4E6C-A1D4-4D07-A2E2-64CFD1FF39E5}">
  <dimension ref="D6:O45"/>
  <sheetViews>
    <sheetView tabSelected="1" zoomScale="115" zoomScaleNormal="115" workbookViewId="0">
      <selection activeCell="K7" sqref="K7"/>
    </sheetView>
  </sheetViews>
  <sheetFormatPr defaultRowHeight="15" x14ac:dyDescent="0.25"/>
  <cols>
    <col min="4" max="4" width="25" customWidth="1"/>
    <col min="9" max="9" width="9.140625" style="1"/>
    <col min="13" max="13" width="16.28515625" bestFit="1" customWidth="1"/>
    <col min="15" max="15" width="22.5703125" bestFit="1" customWidth="1"/>
  </cols>
  <sheetData>
    <row r="6" spans="4:15" x14ac:dyDescent="0.25">
      <c r="D6" t="s">
        <v>0</v>
      </c>
    </row>
    <row r="7" spans="4:15" x14ac:dyDescent="0.25">
      <c r="D7" t="s">
        <v>3</v>
      </c>
      <c r="E7" t="s">
        <v>4</v>
      </c>
      <c r="F7" t="s">
        <v>7</v>
      </c>
      <c r="G7" t="s">
        <v>8</v>
      </c>
      <c r="I7" s="1" t="s">
        <v>25</v>
      </c>
      <c r="M7" t="s">
        <v>23</v>
      </c>
      <c r="O7" t="s">
        <v>24</v>
      </c>
    </row>
    <row r="8" spans="4:15" x14ac:dyDescent="0.25">
      <c r="D8" t="s">
        <v>9</v>
      </c>
      <c r="E8">
        <v>489</v>
      </c>
      <c r="F8">
        <v>488</v>
      </c>
      <c r="G8">
        <v>432</v>
      </c>
      <c r="I8" s="1">
        <f>F8/E8</f>
        <v>0.99795501022494892</v>
      </c>
      <c r="J8" t="str">
        <f>IF(E8&lt;F8,"ВЕКТОР","СКАЛЯР")</f>
        <v>СКАЛЯР</v>
      </c>
      <c r="M8" t="b">
        <f>AND(G8&lt;F8,G8&lt;E8)</f>
        <v>1</v>
      </c>
      <c r="O8" t="b">
        <f>AND(J8="ВЕКТОР", M8=FALSE)</f>
        <v>0</v>
      </c>
    </row>
    <row r="9" spans="4:15" x14ac:dyDescent="0.25">
      <c r="D9" t="s">
        <v>10</v>
      </c>
      <c r="E9">
        <v>716</v>
      </c>
      <c r="F9">
        <v>742</v>
      </c>
      <c r="G9">
        <v>725</v>
      </c>
      <c r="I9" s="1">
        <f t="shared" ref="I9:I45" si="0">F9/E9</f>
        <v>1.0363128491620113</v>
      </c>
      <c r="J9" t="str">
        <f t="shared" ref="J9:J45" si="1">IF(E9&lt;F9,"ВЕКТОР","СКАЛЯР")</f>
        <v>ВЕКТОР</v>
      </c>
      <c r="M9" t="b">
        <f t="shared" ref="M9:M45" si="2">AND(G9&lt;F9,G9&lt;E9)</f>
        <v>0</v>
      </c>
      <c r="O9" t="b">
        <f t="shared" ref="O9:O45" si="3">AND(J9="ВЕКТОР", M9=FALSE)</f>
        <v>1</v>
      </c>
    </row>
    <row r="10" spans="4:15" x14ac:dyDescent="0.25">
      <c r="D10" t="s">
        <v>11</v>
      </c>
      <c r="E10">
        <v>810</v>
      </c>
      <c r="F10">
        <v>833</v>
      </c>
      <c r="G10">
        <v>805</v>
      </c>
      <c r="I10" s="1">
        <f t="shared" si="0"/>
        <v>1.028395061728395</v>
      </c>
      <c r="J10" t="str">
        <f t="shared" si="1"/>
        <v>ВЕКТОР</v>
      </c>
      <c r="M10" t="b">
        <f t="shared" si="2"/>
        <v>1</v>
      </c>
      <c r="O10" t="b">
        <f t="shared" si="3"/>
        <v>0</v>
      </c>
    </row>
    <row r="11" spans="4:15" x14ac:dyDescent="0.25">
      <c r="D11" t="s">
        <v>12</v>
      </c>
      <c r="E11">
        <v>833</v>
      </c>
      <c r="F11">
        <v>889</v>
      </c>
      <c r="G11">
        <v>1486</v>
      </c>
      <c r="I11" s="1">
        <f t="shared" si="0"/>
        <v>1.0672268907563025</v>
      </c>
      <c r="J11" t="str">
        <f t="shared" si="1"/>
        <v>ВЕКТОР</v>
      </c>
      <c r="M11" t="b">
        <f t="shared" si="2"/>
        <v>0</v>
      </c>
      <c r="O11" t="b">
        <f t="shared" si="3"/>
        <v>1</v>
      </c>
    </row>
    <row r="12" spans="4:15" x14ac:dyDescent="0.25">
      <c r="D12" t="s">
        <v>13</v>
      </c>
      <c r="E12">
        <v>874</v>
      </c>
      <c r="F12">
        <v>3344</v>
      </c>
      <c r="G12">
        <v>356</v>
      </c>
      <c r="I12" s="1">
        <f t="shared" si="0"/>
        <v>3.8260869565217392</v>
      </c>
      <c r="J12" t="str">
        <f t="shared" si="1"/>
        <v>ВЕКТОР</v>
      </c>
      <c r="M12" t="b">
        <f t="shared" si="2"/>
        <v>1</v>
      </c>
      <c r="O12" t="b">
        <f t="shared" si="3"/>
        <v>0</v>
      </c>
    </row>
    <row r="13" spans="4:15" x14ac:dyDescent="0.25">
      <c r="D13" t="s">
        <v>14</v>
      </c>
      <c r="E13">
        <v>1301</v>
      </c>
      <c r="F13">
        <v>1418</v>
      </c>
      <c r="G13">
        <v>1983</v>
      </c>
      <c r="I13" s="1">
        <f t="shared" si="0"/>
        <v>1.0899308224442736</v>
      </c>
      <c r="J13" t="str">
        <f t="shared" si="1"/>
        <v>ВЕКТОР</v>
      </c>
      <c r="M13" t="b">
        <f t="shared" si="2"/>
        <v>0</v>
      </c>
      <c r="O13" t="b">
        <f t="shared" si="3"/>
        <v>1</v>
      </c>
    </row>
    <row r="14" spans="4:15" x14ac:dyDescent="0.25">
      <c r="D14" t="s">
        <v>15</v>
      </c>
      <c r="E14">
        <v>1420</v>
      </c>
      <c r="F14">
        <v>1449</v>
      </c>
      <c r="G14">
        <v>355</v>
      </c>
      <c r="I14" s="1">
        <f t="shared" si="0"/>
        <v>1.0204225352112677</v>
      </c>
      <c r="J14" t="str">
        <f t="shared" si="1"/>
        <v>ВЕКТОР</v>
      </c>
      <c r="M14" t="b">
        <f t="shared" si="2"/>
        <v>1</v>
      </c>
      <c r="O14" t="b">
        <f t="shared" si="3"/>
        <v>0</v>
      </c>
    </row>
    <row r="15" spans="4:15" x14ac:dyDescent="0.25">
      <c r="D15" t="s">
        <v>16</v>
      </c>
      <c r="E15">
        <v>2931</v>
      </c>
      <c r="F15">
        <v>3578</v>
      </c>
      <c r="G15">
        <v>3315</v>
      </c>
      <c r="I15" s="1">
        <f t="shared" si="0"/>
        <v>1.2207437734561584</v>
      </c>
      <c r="J15" t="str">
        <f t="shared" si="1"/>
        <v>ВЕКТОР</v>
      </c>
      <c r="M15" t="b">
        <f t="shared" si="2"/>
        <v>0</v>
      </c>
      <c r="O15" t="b">
        <f t="shared" si="3"/>
        <v>1</v>
      </c>
    </row>
    <row r="16" spans="4:15" x14ac:dyDescent="0.25">
      <c r="D16" t="s">
        <v>17</v>
      </c>
      <c r="E16">
        <v>6074</v>
      </c>
      <c r="F16">
        <v>7133</v>
      </c>
      <c r="G16">
        <v>7935</v>
      </c>
      <c r="I16" s="1">
        <f t="shared" si="0"/>
        <v>1.1743496871913073</v>
      </c>
      <c r="J16" t="str">
        <f t="shared" si="1"/>
        <v>ВЕКТОР</v>
      </c>
      <c r="M16" t="b">
        <f t="shared" si="2"/>
        <v>0</v>
      </c>
      <c r="O16" t="b">
        <f t="shared" si="3"/>
        <v>1</v>
      </c>
    </row>
    <row r="18" spans="4:15" x14ac:dyDescent="0.25">
      <c r="D18" t="s">
        <v>1</v>
      </c>
    </row>
    <row r="19" spans="4:15" x14ac:dyDescent="0.25">
      <c r="D19" t="s">
        <v>3</v>
      </c>
      <c r="E19" t="s">
        <v>4</v>
      </c>
      <c r="F19" t="s">
        <v>7</v>
      </c>
      <c r="G19" t="s">
        <v>8</v>
      </c>
    </row>
    <row r="20" spans="4:15" x14ac:dyDescent="0.25">
      <c r="D20" t="s">
        <v>9</v>
      </c>
      <c r="E20">
        <v>527</v>
      </c>
      <c r="F20">
        <v>532</v>
      </c>
      <c r="G20">
        <v>468</v>
      </c>
      <c r="I20" s="1">
        <f t="shared" si="0"/>
        <v>1.0094876660341556</v>
      </c>
      <c r="J20" t="str">
        <f t="shared" si="1"/>
        <v>ВЕКТОР</v>
      </c>
      <c r="M20" t="b">
        <f t="shared" si="2"/>
        <v>1</v>
      </c>
      <c r="O20" t="b">
        <f t="shared" si="3"/>
        <v>0</v>
      </c>
    </row>
    <row r="21" spans="4:15" x14ac:dyDescent="0.25">
      <c r="D21" t="s">
        <v>10</v>
      </c>
      <c r="E21">
        <v>620</v>
      </c>
      <c r="F21">
        <v>629</v>
      </c>
      <c r="G21">
        <v>572</v>
      </c>
      <c r="I21" s="1">
        <f t="shared" si="0"/>
        <v>1.014516129032258</v>
      </c>
      <c r="J21" t="str">
        <f t="shared" si="1"/>
        <v>ВЕКТОР</v>
      </c>
      <c r="M21" t="b">
        <f t="shared" si="2"/>
        <v>1</v>
      </c>
      <c r="O21" t="b">
        <f t="shared" si="3"/>
        <v>0</v>
      </c>
    </row>
    <row r="22" spans="4:15" x14ac:dyDescent="0.25">
      <c r="D22" t="s">
        <v>11</v>
      </c>
      <c r="E22">
        <v>723</v>
      </c>
      <c r="F22">
        <v>730</v>
      </c>
      <c r="G22">
        <v>687</v>
      </c>
      <c r="I22" s="1">
        <f t="shared" si="0"/>
        <v>1.0096818810511756</v>
      </c>
      <c r="J22" t="str">
        <f t="shared" si="1"/>
        <v>ВЕКТОР</v>
      </c>
      <c r="M22" t="b">
        <f t="shared" si="2"/>
        <v>1</v>
      </c>
      <c r="O22" t="b">
        <f t="shared" si="3"/>
        <v>0</v>
      </c>
    </row>
    <row r="23" spans="4:15" x14ac:dyDescent="0.25">
      <c r="D23" t="s">
        <v>12</v>
      </c>
      <c r="E23">
        <v>740</v>
      </c>
      <c r="F23">
        <v>786</v>
      </c>
      <c r="G23">
        <v>1349</v>
      </c>
      <c r="I23" s="1">
        <f t="shared" si="0"/>
        <v>1.0621621621621622</v>
      </c>
      <c r="J23" t="str">
        <f t="shared" si="1"/>
        <v>ВЕКТОР</v>
      </c>
      <c r="M23" t="b">
        <f t="shared" si="2"/>
        <v>0</v>
      </c>
      <c r="O23" t="b">
        <f t="shared" si="3"/>
        <v>1</v>
      </c>
    </row>
    <row r="24" spans="4:15" x14ac:dyDescent="0.25">
      <c r="D24" t="s">
        <v>13</v>
      </c>
      <c r="E24">
        <v>1876</v>
      </c>
      <c r="F24">
        <v>7692</v>
      </c>
      <c r="G24">
        <v>743</v>
      </c>
      <c r="I24" s="1">
        <f t="shared" si="0"/>
        <v>4.1002132196162044</v>
      </c>
      <c r="J24" t="str">
        <f t="shared" si="1"/>
        <v>ВЕКТОР</v>
      </c>
      <c r="M24" t="b">
        <f t="shared" si="2"/>
        <v>1</v>
      </c>
      <c r="O24" t="b">
        <f t="shared" si="3"/>
        <v>0</v>
      </c>
    </row>
    <row r="25" spans="4:15" x14ac:dyDescent="0.25">
      <c r="D25" t="s">
        <v>14</v>
      </c>
      <c r="E25">
        <v>1418</v>
      </c>
      <c r="F25">
        <v>1556</v>
      </c>
      <c r="G25">
        <v>2194</v>
      </c>
      <c r="I25" s="1">
        <f t="shared" si="0"/>
        <v>1.0973201692524683</v>
      </c>
      <c r="J25" t="str">
        <f t="shared" si="1"/>
        <v>ВЕКТОР</v>
      </c>
      <c r="M25" t="b">
        <f t="shared" si="2"/>
        <v>0</v>
      </c>
      <c r="O25" t="b">
        <f t="shared" si="3"/>
        <v>1</v>
      </c>
    </row>
    <row r="26" spans="4:15" x14ac:dyDescent="0.25">
      <c r="D26" t="s">
        <v>15</v>
      </c>
      <c r="E26">
        <v>1419</v>
      </c>
      <c r="F26">
        <v>1451</v>
      </c>
      <c r="G26">
        <v>356</v>
      </c>
      <c r="I26" s="1">
        <f t="shared" si="0"/>
        <v>1.0225510923185341</v>
      </c>
      <c r="J26" t="str">
        <f t="shared" si="1"/>
        <v>ВЕКТОР</v>
      </c>
      <c r="M26" t="b">
        <f t="shared" si="2"/>
        <v>1</v>
      </c>
      <c r="O26" t="b">
        <f t="shared" si="3"/>
        <v>0</v>
      </c>
    </row>
    <row r="27" spans="4:15" x14ac:dyDescent="0.25">
      <c r="D27" t="s">
        <v>16</v>
      </c>
      <c r="E27">
        <v>1815</v>
      </c>
      <c r="F27">
        <v>2162</v>
      </c>
      <c r="G27">
        <v>1733</v>
      </c>
      <c r="I27" s="1">
        <f t="shared" si="0"/>
        <v>1.1911845730027548</v>
      </c>
      <c r="J27" t="str">
        <f t="shared" si="1"/>
        <v>ВЕКТОР</v>
      </c>
      <c r="M27" t="b">
        <f t="shared" si="2"/>
        <v>1</v>
      </c>
      <c r="O27" t="b">
        <f t="shared" si="3"/>
        <v>0</v>
      </c>
    </row>
    <row r="28" spans="4:15" x14ac:dyDescent="0.25">
      <c r="D28" t="s">
        <v>17</v>
      </c>
      <c r="E28">
        <v>2795</v>
      </c>
      <c r="F28">
        <v>3178</v>
      </c>
      <c r="G28">
        <v>3339</v>
      </c>
      <c r="I28" s="1">
        <f t="shared" si="0"/>
        <v>1.1370304114490162</v>
      </c>
      <c r="J28" t="str">
        <f t="shared" si="1"/>
        <v>ВЕКТОР</v>
      </c>
      <c r="M28" t="b">
        <f t="shared" si="2"/>
        <v>0</v>
      </c>
      <c r="O28" t="b">
        <f t="shared" si="3"/>
        <v>1</v>
      </c>
    </row>
    <row r="30" spans="4:15" x14ac:dyDescent="0.25">
      <c r="D30" t="s">
        <v>2</v>
      </c>
    </row>
    <row r="31" spans="4:15" x14ac:dyDescent="0.25">
      <c r="D31" t="s">
        <v>3</v>
      </c>
      <c r="E31" t="s">
        <v>4</v>
      </c>
      <c r="F31" t="s">
        <v>7</v>
      </c>
      <c r="G31" t="s">
        <v>8</v>
      </c>
    </row>
    <row r="32" spans="4:15" x14ac:dyDescent="0.25">
      <c r="D32" t="s">
        <v>18</v>
      </c>
      <c r="E32">
        <v>5</v>
      </c>
      <c r="F32">
        <v>5</v>
      </c>
      <c r="G32">
        <v>3</v>
      </c>
      <c r="I32" s="1">
        <f t="shared" si="0"/>
        <v>1</v>
      </c>
      <c r="J32" t="str">
        <f t="shared" si="1"/>
        <v>СКАЛЯР</v>
      </c>
      <c r="M32" t="b">
        <f t="shared" si="2"/>
        <v>1</v>
      </c>
      <c r="O32" t="b">
        <f t="shared" si="3"/>
        <v>0</v>
      </c>
    </row>
    <row r="33" spans="4:15" x14ac:dyDescent="0.25">
      <c r="D33" t="s">
        <v>19</v>
      </c>
      <c r="E33">
        <v>12</v>
      </c>
      <c r="F33">
        <v>11</v>
      </c>
      <c r="G33">
        <v>12</v>
      </c>
      <c r="I33" s="1">
        <f t="shared" si="0"/>
        <v>0.91666666666666663</v>
      </c>
      <c r="J33" t="str">
        <f t="shared" si="1"/>
        <v>СКАЛЯР</v>
      </c>
      <c r="M33" t="b">
        <f t="shared" si="2"/>
        <v>0</v>
      </c>
      <c r="O33" t="b">
        <f t="shared" si="3"/>
        <v>0</v>
      </c>
    </row>
    <row r="34" spans="4:15" x14ac:dyDescent="0.25">
      <c r="D34" t="s">
        <v>20</v>
      </c>
      <c r="E34">
        <v>30</v>
      </c>
      <c r="F34">
        <v>20</v>
      </c>
      <c r="G34">
        <v>7</v>
      </c>
      <c r="I34" s="1">
        <f t="shared" si="0"/>
        <v>0.66666666666666663</v>
      </c>
      <c r="J34" t="str">
        <f t="shared" si="1"/>
        <v>СКАЛЯР</v>
      </c>
      <c r="M34" t="b">
        <f t="shared" si="2"/>
        <v>1</v>
      </c>
      <c r="O34" t="b">
        <f t="shared" si="3"/>
        <v>0</v>
      </c>
    </row>
    <row r="35" spans="4:15" x14ac:dyDescent="0.25">
      <c r="D35" t="s">
        <v>21</v>
      </c>
      <c r="E35">
        <v>39</v>
      </c>
      <c r="F35">
        <v>38</v>
      </c>
      <c r="G35">
        <v>43</v>
      </c>
      <c r="I35" s="1">
        <f t="shared" si="0"/>
        <v>0.97435897435897434</v>
      </c>
      <c r="J35" t="str">
        <f t="shared" si="1"/>
        <v>СКАЛЯР</v>
      </c>
      <c r="M35" t="b">
        <f t="shared" si="2"/>
        <v>0</v>
      </c>
      <c r="O35" t="b">
        <f t="shared" si="3"/>
        <v>0</v>
      </c>
    </row>
    <row r="36" spans="4:15" x14ac:dyDescent="0.25">
      <c r="D36" t="s">
        <v>22</v>
      </c>
      <c r="E36">
        <v>41</v>
      </c>
      <c r="F36">
        <v>41</v>
      </c>
      <c r="G36">
        <v>48</v>
      </c>
      <c r="I36" s="1">
        <f t="shared" si="0"/>
        <v>1</v>
      </c>
      <c r="J36" t="str">
        <f t="shared" si="1"/>
        <v>СКАЛЯР</v>
      </c>
      <c r="M36" t="b">
        <f t="shared" si="2"/>
        <v>0</v>
      </c>
      <c r="O36" t="b">
        <f t="shared" si="3"/>
        <v>0</v>
      </c>
    </row>
    <row r="37" spans="4:15" x14ac:dyDescent="0.25">
      <c r="D37" t="s">
        <v>9</v>
      </c>
      <c r="E37">
        <v>66</v>
      </c>
      <c r="F37">
        <v>67</v>
      </c>
      <c r="G37">
        <v>71</v>
      </c>
      <c r="I37" s="1">
        <f t="shared" si="0"/>
        <v>1.0151515151515151</v>
      </c>
      <c r="J37" t="str">
        <f t="shared" si="1"/>
        <v>ВЕКТОР</v>
      </c>
      <c r="M37" t="b">
        <f t="shared" si="2"/>
        <v>0</v>
      </c>
      <c r="O37" t="b">
        <f t="shared" si="3"/>
        <v>1</v>
      </c>
    </row>
    <row r="38" spans="4:15" x14ac:dyDescent="0.25">
      <c r="D38" t="s">
        <v>10</v>
      </c>
      <c r="E38">
        <v>49</v>
      </c>
      <c r="F38">
        <v>51</v>
      </c>
      <c r="G38">
        <v>58</v>
      </c>
      <c r="I38" s="1">
        <f t="shared" si="0"/>
        <v>1.0408163265306123</v>
      </c>
      <c r="J38" t="str">
        <f t="shared" si="1"/>
        <v>ВЕКТОР</v>
      </c>
      <c r="M38" t="b">
        <f t="shared" si="2"/>
        <v>0</v>
      </c>
      <c r="O38" t="b">
        <f t="shared" si="3"/>
        <v>1</v>
      </c>
    </row>
    <row r="39" spans="4:15" x14ac:dyDescent="0.25">
      <c r="D39" t="s">
        <v>11</v>
      </c>
      <c r="E39">
        <v>52</v>
      </c>
      <c r="F39">
        <v>54</v>
      </c>
      <c r="G39">
        <v>61</v>
      </c>
      <c r="I39" s="1">
        <f t="shared" si="0"/>
        <v>1.0384615384615385</v>
      </c>
      <c r="J39" t="str">
        <f t="shared" si="1"/>
        <v>ВЕКТОР</v>
      </c>
      <c r="M39" t="b">
        <f t="shared" si="2"/>
        <v>0</v>
      </c>
      <c r="O39" t="b">
        <f t="shared" si="3"/>
        <v>1</v>
      </c>
    </row>
    <row r="40" spans="4:15" x14ac:dyDescent="0.25">
      <c r="D40" t="s">
        <v>12</v>
      </c>
      <c r="E40">
        <v>558</v>
      </c>
      <c r="F40">
        <v>604</v>
      </c>
      <c r="G40">
        <v>1222</v>
      </c>
      <c r="I40" s="1">
        <f t="shared" si="0"/>
        <v>1.0824372759856631</v>
      </c>
      <c r="J40" t="str">
        <f t="shared" si="1"/>
        <v>ВЕКТОР</v>
      </c>
      <c r="M40" t="b">
        <f t="shared" si="2"/>
        <v>0</v>
      </c>
      <c r="O40" t="b">
        <f t="shared" si="3"/>
        <v>1</v>
      </c>
    </row>
    <row r="41" spans="4:15" x14ac:dyDescent="0.25">
      <c r="D41" t="s">
        <v>13</v>
      </c>
      <c r="E41">
        <v>14</v>
      </c>
      <c r="F41">
        <v>36</v>
      </c>
      <c r="G41">
        <v>14</v>
      </c>
      <c r="I41" s="1">
        <f t="shared" si="0"/>
        <v>2.5714285714285716</v>
      </c>
      <c r="J41" t="str">
        <f t="shared" si="1"/>
        <v>ВЕКТОР</v>
      </c>
      <c r="M41" t="b">
        <f t="shared" si="2"/>
        <v>0</v>
      </c>
      <c r="O41" t="b">
        <f t="shared" si="3"/>
        <v>1</v>
      </c>
    </row>
    <row r="42" spans="4:15" x14ac:dyDescent="0.25">
      <c r="D42" t="s">
        <v>14</v>
      </c>
      <c r="E42">
        <v>366</v>
      </c>
      <c r="F42">
        <v>377</v>
      </c>
      <c r="G42">
        <v>627</v>
      </c>
      <c r="I42" s="1">
        <f t="shared" si="0"/>
        <v>1.0300546448087431</v>
      </c>
      <c r="J42" t="str">
        <f t="shared" si="1"/>
        <v>ВЕКТОР</v>
      </c>
      <c r="M42" t="b">
        <f t="shared" si="2"/>
        <v>0</v>
      </c>
      <c r="O42" t="b">
        <f t="shared" si="3"/>
        <v>1</v>
      </c>
    </row>
    <row r="43" spans="4:15" x14ac:dyDescent="0.25">
      <c r="D43" t="s">
        <v>15</v>
      </c>
      <c r="E43">
        <v>186</v>
      </c>
      <c r="F43">
        <v>125</v>
      </c>
      <c r="G43">
        <v>54</v>
      </c>
      <c r="I43" s="1">
        <f t="shared" si="0"/>
        <v>0.67204301075268813</v>
      </c>
      <c r="J43" t="str">
        <f t="shared" si="1"/>
        <v>СКАЛЯР</v>
      </c>
      <c r="M43" t="b">
        <f t="shared" si="2"/>
        <v>1</v>
      </c>
      <c r="O43" t="b">
        <f t="shared" si="3"/>
        <v>0</v>
      </c>
    </row>
    <row r="44" spans="4:15" x14ac:dyDescent="0.25">
      <c r="D44" t="s">
        <v>16</v>
      </c>
      <c r="E44">
        <v>27</v>
      </c>
      <c r="F44">
        <v>32</v>
      </c>
      <c r="G44">
        <v>32</v>
      </c>
      <c r="I44" s="1">
        <f t="shared" si="0"/>
        <v>1.1851851851851851</v>
      </c>
      <c r="J44" t="str">
        <f t="shared" si="1"/>
        <v>ВЕКТОР</v>
      </c>
      <c r="M44" t="b">
        <f t="shared" si="2"/>
        <v>0</v>
      </c>
      <c r="O44" t="b">
        <f t="shared" si="3"/>
        <v>1</v>
      </c>
    </row>
    <row r="45" spans="4:15" x14ac:dyDescent="0.25">
      <c r="D45" t="s">
        <v>17</v>
      </c>
      <c r="E45">
        <v>81</v>
      </c>
      <c r="F45">
        <v>91</v>
      </c>
      <c r="G45">
        <v>116</v>
      </c>
      <c r="I45" s="1">
        <f t="shared" si="0"/>
        <v>1.1234567901234569</v>
      </c>
      <c r="J45" t="str">
        <f t="shared" si="1"/>
        <v>ВЕКТОР</v>
      </c>
      <c r="M45" t="b">
        <f t="shared" si="2"/>
        <v>0</v>
      </c>
      <c r="O45" t="b">
        <f t="shared" si="3"/>
        <v>1</v>
      </c>
    </row>
  </sheetData>
  <conditionalFormatting sqref="I8:I16 I20:I28 I32:I45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Литвяков</dc:creator>
  <cp:lastModifiedBy>Даниил Литвяков</cp:lastModifiedBy>
  <dcterms:created xsi:type="dcterms:W3CDTF">2026-08-30T00:06:58Z</dcterms:created>
  <dcterms:modified xsi:type="dcterms:W3CDTF">2026-08-31T12:49:20Z</dcterms:modified>
</cp:coreProperties>
</file>