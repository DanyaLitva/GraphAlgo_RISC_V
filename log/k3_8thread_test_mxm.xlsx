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ik\Desktop\"/>
    </mc:Choice>
  </mc:AlternateContent>
  <xr:revisionPtr revIDLastSave="0" documentId="13_ncr:1_{1B799838-4EE2-435A-BBD6-310DF9F50986}" xr6:coauthVersionLast="47" xr6:coauthVersionMax="47" xr10:uidLastSave="{00000000-0000-0000-0000-000000000000}"/>
  <bookViews>
    <workbookView xWindow="-120" yWindow="-120" windowWidth="29040" windowHeight="15840" xr2:uid="{0EF4BFC2-6069-42B0-B113-4BDE45295E40}"/>
  </bookViews>
  <sheets>
    <sheet name="mxm_test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H23" i="1"/>
  <c r="H24" i="1"/>
  <c r="G24" i="1"/>
  <c r="G23" i="1"/>
  <c r="G22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</calcChain>
</file>

<file path=xl/sharedStrings.xml><?xml version="1.0" encoding="utf-8"?>
<sst xmlns="http://schemas.openxmlformats.org/spreadsheetml/2006/main" count="25" uniqueCount="25">
  <si>
    <t>graph</t>
  </si>
  <si>
    <t>mca_lmul1</t>
  </si>
  <si>
    <t>mca_scalar</t>
  </si>
  <si>
    <t>msa_scalar</t>
  </si>
  <si>
    <t>road_central</t>
  </si>
  <si>
    <t>in-2004</t>
  </si>
  <si>
    <t>patents</t>
  </si>
  <si>
    <t>Freescale2</t>
  </si>
  <si>
    <t>memchip</t>
  </si>
  <si>
    <t>mac_econ_fwd500</t>
  </si>
  <si>
    <t>webbase-1M</t>
  </si>
  <si>
    <t>amazon0601</t>
  </si>
  <si>
    <t>ecology1</t>
  </si>
  <si>
    <t>raefsky3</t>
  </si>
  <si>
    <t>G3_circuit</t>
  </si>
  <si>
    <t>netherlands_osm</t>
  </si>
  <si>
    <t>web-Stanford</t>
  </si>
  <si>
    <t>web-Google</t>
  </si>
  <si>
    <t>pwtk</t>
  </si>
  <si>
    <t>msa/mca_vec</t>
  </si>
  <si>
    <t>mca_vec/scal</t>
  </si>
  <si>
    <t>СР</t>
  </si>
  <si>
    <t>МАКС</t>
  </si>
  <si>
    <t>МИН</t>
  </si>
  <si>
    <t>mxm_test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</si>
</sst>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B966-15C1-446D-9CE2-07A2358A6B3A}">
  <dimension ref="B3:H24"/>
  <sheetViews>
    <sheetView tabSelected="1" workbookViewId="0"/>
  </sheetViews>
  <sheetFormatPr defaultRowHeight="15" x14ac:dyDescent="0.25"/>
  <cols>
    <col min="2" max="2" width="17.28515625" bestFit="1" customWidth="1"/>
    <col min="3" max="3" width="10.7109375" bestFit="1" customWidth="1"/>
    <col min="4" max="4" width="11.28515625" bestFit="1" customWidth="1"/>
    <col min="7" max="7" width="13.140625" bestFit="1" customWidth="1"/>
    <col min="8" max="8" width="13.28515625" bestFit="1" customWidth="1"/>
  </cols>
  <sheetData>
    <row r="3" spans="2:8" x14ac:dyDescent="0.25">
      <c r="B3" t="s">
        <v>24</v>
      </c>
    </row>
    <row r="5" spans="2:8" x14ac:dyDescent="0.25">
      <c r="B5" t="s">
        <v>0</v>
      </c>
      <c r="C5" t="s">
        <v>1</v>
      </c>
      <c r="D5" t="s">
        <v>2</v>
      </c>
      <c r="E5" t="s">
        <v>3</v>
      </c>
      <c r="G5" t="s">
        <v>20</v>
      </c>
      <c r="H5" t="s">
        <v>19</v>
      </c>
    </row>
    <row r="6" spans="2:8" x14ac:dyDescent="0.25">
      <c r="B6" t="s">
        <v>4</v>
      </c>
      <c r="C6" s="3">
        <v>751</v>
      </c>
      <c r="D6" s="3">
        <v>884</v>
      </c>
      <c r="E6" s="3">
        <v>1409</v>
      </c>
      <c r="G6" s="2">
        <f>D6/C6</f>
        <v>1.1770972037283622</v>
      </c>
      <c r="H6" s="2">
        <f>E6/C6</f>
        <v>1.8761651131824235</v>
      </c>
    </row>
    <row r="7" spans="2:8" x14ac:dyDescent="0.25">
      <c r="B7" t="s">
        <v>5</v>
      </c>
      <c r="C7" s="3">
        <v>1931</v>
      </c>
      <c r="D7" s="3">
        <v>2025</v>
      </c>
      <c r="E7" s="3">
        <v>401</v>
      </c>
      <c r="G7" s="2">
        <f t="shared" ref="G7:G20" si="0">D7/C7</f>
        <v>1.0486794407042983</v>
      </c>
      <c r="H7" s="2">
        <f t="shared" ref="H7:H20" si="1">E7/C7</f>
        <v>0.20766442257897463</v>
      </c>
    </row>
    <row r="8" spans="2:8" x14ac:dyDescent="0.25">
      <c r="B8" t="s">
        <v>6</v>
      </c>
      <c r="C8" s="3">
        <v>499</v>
      </c>
      <c r="D8" s="3">
        <v>537</v>
      </c>
      <c r="E8" s="3">
        <v>1120</v>
      </c>
      <c r="G8" s="2">
        <f t="shared" si="0"/>
        <v>1.0761523046092185</v>
      </c>
      <c r="H8" s="2">
        <f t="shared" si="1"/>
        <v>2.2444889779559118</v>
      </c>
    </row>
    <row r="9" spans="2:8" x14ac:dyDescent="0.25">
      <c r="B9" t="s">
        <v>7</v>
      </c>
      <c r="C9" s="3">
        <v>1137</v>
      </c>
      <c r="D9" s="3">
        <v>3023</v>
      </c>
      <c r="E9" s="3">
        <v>5568</v>
      </c>
      <c r="G9" s="2">
        <f t="shared" si="0"/>
        <v>2.6587510993843448</v>
      </c>
      <c r="H9" s="2">
        <f t="shared" si="1"/>
        <v>4.8970976253298151</v>
      </c>
    </row>
    <row r="10" spans="2:8" x14ac:dyDescent="0.25">
      <c r="B10" t="s">
        <v>8</v>
      </c>
      <c r="C10" s="3">
        <v>102</v>
      </c>
      <c r="D10" s="3">
        <v>119</v>
      </c>
      <c r="E10" s="3">
        <v>100</v>
      </c>
      <c r="G10" s="2">
        <f t="shared" si="0"/>
        <v>1.1666666666666667</v>
      </c>
      <c r="H10" s="2">
        <f t="shared" si="1"/>
        <v>0.98039215686274506</v>
      </c>
    </row>
    <row r="11" spans="2:8" x14ac:dyDescent="0.25">
      <c r="B11" t="s">
        <v>9</v>
      </c>
      <c r="C11" s="3">
        <v>11</v>
      </c>
      <c r="D11" s="3">
        <v>15</v>
      </c>
      <c r="E11" s="3">
        <v>6</v>
      </c>
      <c r="G11" s="2">
        <f t="shared" si="0"/>
        <v>1.3636363636363635</v>
      </c>
      <c r="H11" s="2">
        <f t="shared" si="1"/>
        <v>0.54545454545454541</v>
      </c>
    </row>
    <row r="12" spans="2:8" x14ac:dyDescent="0.25">
      <c r="B12" t="s">
        <v>10</v>
      </c>
      <c r="C12" s="3">
        <v>90</v>
      </c>
      <c r="D12" s="3">
        <v>429</v>
      </c>
      <c r="E12" s="3">
        <v>31</v>
      </c>
      <c r="G12" s="2">
        <f t="shared" si="0"/>
        <v>4.7666666666666666</v>
      </c>
      <c r="H12" s="2">
        <f t="shared" si="1"/>
        <v>0.34444444444444444</v>
      </c>
    </row>
    <row r="13" spans="2:8" x14ac:dyDescent="0.25">
      <c r="B13" t="s">
        <v>11</v>
      </c>
      <c r="C13" s="3">
        <v>128</v>
      </c>
      <c r="D13" s="3">
        <v>134</v>
      </c>
      <c r="E13" s="3">
        <v>125</v>
      </c>
      <c r="G13" s="2">
        <f t="shared" si="0"/>
        <v>1.046875</v>
      </c>
      <c r="H13" s="2">
        <f t="shared" si="1"/>
        <v>0.9765625</v>
      </c>
    </row>
    <row r="14" spans="2:8" x14ac:dyDescent="0.25">
      <c r="B14" t="s">
        <v>12</v>
      </c>
      <c r="C14" s="3">
        <v>27</v>
      </c>
      <c r="D14" s="3">
        <v>26</v>
      </c>
      <c r="E14" s="3">
        <v>21</v>
      </c>
      <c r="G14" s="2">
        <f t="shared" si="0"/>
        <v>0.96296296296296291</v>
      </c>
      <c r="H14" s="2">
        <f t="shared" si="1"/>
        <v>0.77777777777777779</v>
      </c>
    </row>
    <row r="15" spans="2:8" x14ac:dyDescent="0.25">
      <c r="B15" t="s">
        <v>13</v>
      </c>
      <c r="C15" s="3">
        <v>109</v>
      </c>
      <c r="D15" s="3">
        <v>114</v>
      </c>
      <c r="E15" s="3">
        <v>20</v>
      </c>
      <c r="G15" s="2">
        <f t="shared" si="0"/>
        <v>1.0458715596330275</v>
      </c>
      <c r="H15" s="2">
        <f t="shared" si="1"/>
        <v>0.1834862385321101</v>
      </c>
    </row>
    <row r="16" spans="2:8" x14ac:dyDescent="0.25">
      <c r="B16" t="s">
        <v>14</v>
      </c>
      <c r="C16" s="3">
        <v>44</v>
      </c>
      <c r="D16" s="3">
        <v>43</v>
      </c>
      <c r="E16" s="3">
        <v>44</v>
      </c>
      <c r="G16" s="2">
        <f t="shared" si="0"/>
        <v>0.97727272727272729</v>
      </c>
      <c r="H16" s="2">
        <f t="shared" si="1"/>
        <v>1</v>
      </c>
    </row>
    <row r="17" spans="2:8" x14ac:dyDescent="0.25">
      <c r="B17" t="s">
        <v>15</v>
      </c>
      <c r="C17" s="3">
        <v>39</v>
      </c>
      <c r="D17" s="3">
        <v>42</v>
      </c>
      <c r="E17" s="3">
        <v>49</v>
      </c>
      <c r="G17" s="2">
        <f t="shared" si="0"/>
        <v>1.0769230769230769</v>
      </c>
      <c r="H17" s="2">
        <f t="shared" si="1"/>
        <v>1.2564102564102564</v>
      </c>
    </row>
    <row r="18" spans="2:8" x14ac:dyDescent="0.25">
      <c r="B18" t="s">
        <v>16</v>
      </c>
      <c r="C18" s="3">
        <v>126</v>
      </c>
      <c r="D18" s="3">
        <v>160</v>
      </c>
      <c r="E18" s="3">
        <v>211</v>
      </c>
      <c r="G18" s="2">
        <f t="shared" si="0"/>
        <v>1.2698412698412698</v>
      </c>
      <c r="H18" s="2">
        <f t="shared" si="1"/>
        <v>1.6746031746031746</v>
      </c>
    </row>
    <row r="19" spans="2:8" x14ac:dyDescent="0.25">
      <c r="B19" t="s">
        <v>17</v>
      </c>
      <c r="C19" s="3">
        <v>315</v>
      </c>
      <c r="D19" s="3">
        <v>341</v>
      </c>
      <c r="E19" s="3">
        <v>500</v>
      </c>
      <c r="G19" s="2">
        <f t="shared" si="0"/>
        <v>1.0825396825396825</v>
      </c>
      <c r="H19" s="2">
        <f t="shared" si="1"/>
        <v>1.5873015873015872</v>
      </c>
    </row>
    <row r="20" spans="2:8" x14ac:dyDescent="0.25">
      <c r="B20" t="s">
        <v>18</v>
      </c>
      <c r="C20" s="3">
        <v>646</v>
      </c>
      <c r="D20" s="3">
        <v>719</v>
      </c>
      <c r="E20" s="3">
        <v>127</v>
      </c>
      <c r="G20" s="2">
        <f t="shared" si="0"/>
        <v>1.1130030959752322</v>
      </c>
      <c r="H20" s="2">
        <f t="shared" si="1"/>
        <v>0.19659442724458204</v>
      </c>
    </row>
    <row r="22" spans="2:8" x14ac:dyDescent="0.25">
      <c r="F22" t="s">
        <v>21</v>
      </c>
      <c r="G22" s="1">
        <f>AVERAGE(G6:G20)</f>
        <v>1.4555292747029265</v>
      </c>
      <c r="H22" s="1">
        <f>AVERAGE(H6:H20)</f>
        <v>1.2498962165118899</v>
      </c>
    </row>
    <row r="23" spans="2:8" x14ac:dyDescent="0.25">
      <c r="F23" t="s">
        <v>22</v>
      </c>
      <c r="G23" s="1">
        <f>MAX(G6:G20)</f>
        <v>4.7666666666666666</v>
      </c>
      <c r="H23" s="1">
        <f>MAX(H6:H20)</f>
        <v>4.8970976253298151</v>
      </c>
    </row>
    <row r="24" spans="2:8" x14ac:dyDescent="0.25">
      <c r="F24" t="s">
        <v>23</v>
      </c>
      <c r="G24" s="1">
        <f>MIN(G6:G20)</f>
        <v>0.96296296296296291</v>
      </c>
      <c r="H24" s="1">
        <f>MIN(H6:H20)</f>
        <v>0.1834862385321101</v>
      </c>
    </row>
  </sheetData>
  <conditionalFormatting sqref="G6:H20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mxm_test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Литвяков</dc:creator>
  <cp:lastModifiedBy>Даниил Литвяков</cp:lastModifiedBy>
  <dcterms:created xsi:type="dcterms:W3CDTF">2026-09-01T15:57:27Z</dcterms:created>
  <dcterms:modified xsi:type="dcterms:W3CDTF">2026-09-01T16:06:58Z</dcterms:modified>
</cp:coreProperties>
</file>